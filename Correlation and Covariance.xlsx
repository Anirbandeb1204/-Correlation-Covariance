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ba\Desktop\PW Assignments\Correlation and Covariance\"/>
    </mc:Choice>
  </mc:AlternateContent>
  <bookViews>
    <workbookView xWindow="0" yWindow="0" windowWidth="19200" windowHeight="6610" activeTab="4"/>
  </bookViews>
  <sheets>
    <sheet name="Q6" sheetId="1" r:id="rId1"/>
    <sheet name="Q7" sheetId="2" r:id="rId2"/>
    <sheet name="Q8" sheetId="3" r:id="rId3"/>
    <sheet name="Q9" sheetId="4" r:id="rId4"/>
    <sheet name="Q10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5" l="1"/>
  <c r="E3" i="5"/>
  <c r="H2" i="3"/>
  <c r="F4" i="5"/>
  <c r="F3" i="5"/>
  <c r="J2" i="3"/>
  <c r="I1" i="2" l="1"/>
  <c r="D26" i="2"/>
  <c r="C26" i="2"/>
  <c r="B26" i="2"/>
  <c r="A26" i="2"/>
  <c r="H2" i="1"/>
  <c r="H1" i="1"/>
  <c r="J1" i="1"/>
  <c r="J2" i="1"/>
  <c r="K1" i="2"/>
</calcChain>
</file>

<file path=xl/sharedStrings.xml><?xml version="1.0" encoding="utf-8"?>
<sst xmlns="http://schemas.openxmlformats.org/spreadsheetml/2006/main" count="94" uniqueCount="88">
  <si>
    <t>X</t>
  </si>
  <si>
    <t>Y</t>
  </si>
  <si>
    <t>Sample Covariance</t>
  </si>
  <si>
    <t>Population Covariance</t>
  </si>
  <si>
    <t>Dataset Overview</t>
  </si>
  <si>
    <t>X (Independent)</t>
  </si>
  <si>
    <t>Y (Dependent)</t>
  </si>
  <si>
    <t>Statistical Calculations</t>
  </si>
  <si>
    <r>
      <t xml:space="preserve">The relationship was measured using </t>
    </r>
    <r>
      <rPr>
        <b/>
        <sz val="11"/>
        <color theme="1"/>
        <rFont val="Arial"/>
        <family val="2"/>
      </rPr>
      <t>Sample Covariance</t>
    </r>
    <r>
      <rPr>
        <sz val="11"/>
        <color theme="1"/>
        <rFont val="Arial"/>
        <family val="2"/>
      </rPr>
      <t>, which determines the direction of the linear relationship.</t>
    </r>
  </si>
  <si>
    <t>Sample Covariance Formula:</t>
  </si>
  <si>
    <r>
      <t>Calculation Result: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6.33</t>
    </r>
  </si>
  <si>
    <t>Interpretation of Results</t>
  </si>
  <si>
    <t>The following dataset was analyzed to determine the relationship between two variables, X and Y.</t>
  </si>
  <si>
    <t>1. Direction: The positive covariance (6.33) indicates a positive relationship. As X increases, Y generally increases.</t>
  </si>
  <si>
    <t>2. Strength: While covariance shows direction, the Correlation Coefficient (r = 0.82) confirms a strong linear relationship.</t>
  </si>
  <si>
    <t>3. Variance Explained: The R^2 value (approx. 0.67) suggests that 67% of the variance in Y is predictable from X.</t>
  </si>
  <si>
    <t>Mean of X (barX): 5.0</t>
  </si>
  <si>
    <t>Mean of Y (barY): 6.25</t>
  </si>
  <si>
    <t>A</t>
  </si>
  <si>
    <t>B</t>
  </si>
  <si>
    <t>Compute the Pearson correlation coefficient between variables A and B:</t>
  </si>
  <si>
    <t>Set up the Calculation Table</t>
  </si>
  <si>
    <t>A2</t>
  </si>
  <si>
    <t>B2</t>
  </si>
  <si>
    <t>AB</t>
  </si>
  <si>
    <t>Plug the Sums into the Formula</t>
  </si>
  <si>
    <t>1. Numerator:</t>
  </si>
  <si>
    <t>2. Denominator Part 1 (for A):</t>
  </si>
  <si>
    <t>3. Denominator Part 2 (for B):</t>
  </si>
  <si>
    <t>4. Full Denominator:</t>
  </si>
  <si>
    <t>Step 3: Final Result</t>
  </si>
  <si>
    <t>Interpretation</t>
  </si>
  <si>
    <r>
      <t xml:space="preserve">The Pearson correlation coefficient is </t>
    </r>
    <r>
      <rPr>
        <b/>
        <sz val="11"/>
        <color theme="1"/>
        <rFont val="Arial"/>
        <family val="2"/>
      </rPr>
      <t>0.952</t>
    </r>
    <r>
      <rPr>
        <sz val="11"/>
        <color theme="1"/>
        <rFont val="Arial"/>
        <family val="2"/>
      </rPr>
      <t xml:space="preserve">. This indicates an </t>
    </r>
    <r>
      <rPr>
        <b/>
        <sz val="11"/>
        <color theme="1"/>
        <rFont val="Arial"/>
        <family val="2"/>
      </rPr>
      <t>extremely strong positive linear relationship</t>
    </r>
    <r>
      <rPr>
        <sz val="11"/>
        <color theme="1"/>
        <rFont val="Arial"/>
        <family val="2"/>
      </rPr>
      <t>. As variable A increases, variable B increases in a very consistent, nearly straight-line pattern.</t>
    </r>
  </si>
  <si>
    <t>To compute the Pearson correlation coefficient (r) for this dataset, we follow a systematic process. The formula for r is:</t>
  </si>
  <si>
    <t>First, we calculate the squares and the products for each pair of values. There are n = 5 data points.</t>
  </si>
  <si>
    <t>5(3440) - (160)(92)</t>
  </si>
  <si>
    <t>5(6200) - (160)^2</t>
  </si>
  <si>
    <t>5(1944) - (92)^2</t>
  </si>
  <si>
    <t>17200 - 14720 = mathbf2480</t>
  </si>
  <si>
    <t>31000 - 25600 = mathbf5400</t>
  </si>
  <si>
    <t>9720 - 8464 = mathbf1256</t>
  </si>
  <si>
    <t>sqrt5400 times 1256 = sqrt6782400 approx mathbf2604.30</t>
  </si>
  <si>
    <t>r = frac24802604.30 approx mathbf0.952</t>
  </si>
  <si>
    <t>Height</t>
  </si>
  <si>
    <t>Weight</t>
  </si>
  <si>
    <t>Height (X)</t>
  </si>
  <si>
    <t>Weight (Y)</t>
  </si>
  <si>
    <t>X2</t>
  </si>
  <si>
    <t>Y2</t>
  </si>
  <si>
    <t>XY</t>
  </si>
  <si>
    <t>∑X=825</t>
  </si>
  <si>
    <t>∑Y=295</t>
  </si>
  <si>
    <t>∑X2=136,625</t>
  </si>
  <si>
    <t>∑Y2=17,633</t>
  </si>
  <si>
    <t>∑XY=49,010</t>
  </si>
  <si>
    <r>
      <t xml:space="preserve">We use the following formula where </t>
    </r>
    <r>
      <rPr>
        <sz val="11"/>
        <color theme="1"/>
        <rFont val="Arial"/>
        <family val="2"/>
      </rPr>
      <t>n = 5</t>
    </r>
    <r>
      <rPr>
        <sz val="11"/>
        <color theme="1"/>
        <rFont val="Calibri"/>
        <family val="2"/>
        <scheme val="minor"/>
      </rPr>
      <t>:</t>
    </r>
  </si>
  <si>
    <t>Calculation Steps</t>
  </si>
  <si>
    <t>Numerator:</t>
  </si>
  <si>
    <t>5(49,010) - (825)(295)</t>
  </si>
  <si>
    <t>245,050 - 243,375 =1,675</t>
  </si>
  <si>
    <r>
      <t xml:space="preserve">Denominator (Part 1 - </t>
    </r>
    <r>
      <rPr>
        <sz val="11"/>
        <color theme="1"/>
        <rFont val="Arial"/>
        <family val="2"/>
      </rPr>
      <t>X</t>
    </r>
    <r>
      <rPr>
        <sz val="11"/>
        <color theme="1"/>
        <rFont val="Calibri"/>
        <family val="2"/>
        <scheme val="minor"/>
      </rPr>
      <t>):</t>
    </r>
  </si>
  <si>
    <t>5(136,625) - (825)^2</t>
  </si>
  <si>
    <t>683,125 - 680,625 = 2,500</t>
  </si>
  <si>
    <r>
      <t xml:space="preserve">Denominator (Part 2 - </t>
    </r>
    <r>
      <rPr>
        <sz val="11"/>
        <color theme="1"/>
        <rFont val="Arial"/>
        <family val="2"/>
      </rPr>
      <t>Y</t>
    </r>
    <r>
      <rPr>
        <sz val="11"/>
        <color theme="1"/>
        <rFont val="Calibri"/>
        <family val="2"/>
        <scheme val="minor"/>
      </rPr>
      <t>):</t>
    </r>
  </si>
  <si>
    <t>5(17,633) - (295)^2</t>
  </si>
  <si>
    <t>88,165 - 87,025 = 1,140</t>
  </si>
  <si>
    <t>r = 1,675\sqrt{2,500 *1,140}</t>
  </si>
  <si>
    <t>r = 0.992</t>
  </si>
  <si>
    <t>Conclusion</t>
  </si>
  <si>
    <t>      The correlation coefficient is approximately 0.992. This indicates an extremely strong positive linear relationship; as height increases, weight tends to increase very consistently.</t>
  </si>
  <si>
    <t>Year</t>
  </si>
  <si>
    <t>Portfolio A</t>
  </si>
  <si>
    <t>Portfolio B</t>
  </si>
  <si>
    <t>A(X)</t>
  </si>
  <si>
    <t>B(Y)</t>
  </si>
  <si>
    <t>(X−Xˉ)</t>
  </si>
  <si>
    <t>(Y−Yˉ)</t>
  </si>
  <si>
    <t>Product (X−Xˉ)(Y−Yˉ)</t>
  </si>
  <si>
    <t>(X−Xˉ)2</t>
  </si>
  <si>
    <t>(Y−Yˉ)2</t>
  </si>
  <si>
    <t>Sum</t>
  </si>
  <si>
    <r>
      <t xml:space="preserve">Covariance measures the direction of the relationship. Using the formula </t>
    </r>
    <r>
      <rPr>
        <sz val="11"/>
        <color theme="1"/>
        <rFont val="Arial"/>
        <family val="2"/>
      </rPr>
      <t>Cov(X,Y) = 2.4</t>
    </r>
  </si>
  <si>
    <r>
      <t xml:space="preserve">Since the covariance is </t>
    </r>
    <r>
      <rPr>
        <b/>
        <sz val="11"/>
        <color theme="1"/>
        <rFont val="Calibri"/>
        <family val="2"/>
        <scheme val="minor"/>
      </rPr>
      <t>positive</t>
    </r>
    <r>
      <rPr>
        <sz val="11"/>
        <color theme="1"/>
        <rFont val="Calibri"/>
        <family val="2"/>
        <scheme val="minor"/>
      </rPr>
      <t>, the portfolios generally move in the same direction.</t>
    </r>
  </si>
  <si>
    <r>
      <t>Correlation Coefficient (</t>
    </r>
    <r>
      <rPr>
        <sz val="11"/>
        <color theme="1"/>
        <rFont val="Arial"/>
        <family val="2"/>
      </rPr>
      <t>r</t>
    </r>
    <r>
      <rPr>
        <sz val="11"/>
        <color theme="1"/>
        <rFont val="Calibri"/>
        <family val="2"/>
        <scheme val="minor"/>
      </rPr>
      <t>)</t>
    </r>
  </si>
  <si>
    <t>To find the strength of this movement, we use</t>
  </si>
  <si>
    <r>
      <t xml:space="preserve">Standard Deviation A (sigmaX)=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Arial"/>
        <family val="2"/>
      </rPr>
      <t>sqrt(10/5) =1.414</t>
    </r>
  </si>
  <si>
    <r>
      <t>Standard Deviation B (sigmaY):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Arial"/>
        <family val="2"/>
      </rPr>
      <t>sqrt(14.8/5) = 1.720</t>
    </r>
  </si>
  <si>
    <t>r = (2.4)/(1.414*1.720} = 0.987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</si>
</sst>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3.5"/>
      <color theme="1"/>
      <name val="Arial"/>
      <family val="2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2" xfId="0" applyFont="1" applyBorder="1" applyAlignment="1">
      <alignment vertical="center" wrapText="1"/>
    </xf>
    <xf numFmtId="164" fontId="0" fillId="0" borderId="0" xfId="0" applyNumberFormat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0" fontId="0" fillId="2" borderId="0" xfId="0" applyFill="1"/>
    <xf numFmtId="0" fontId="0" fillId="0" borderId="0" xfId="0" applyAlignment="1">
      <alignment horizontal="left"/>
    </xf>
    <xf numFmtId="0" fontId="6" fillId="0" borderId="3" xfId="0" applyFont="1" applyBorder="1" applyAlignment="1">
      <alignment horizontal="left" wrapText="1"/>
    </xf>
    <xf numFmtId="3" fontId="6" fillId="0" borderId="3" xfId="0" applyNumberFormat="1" applyFont="1" applyBorder="1" applyAlignment="1">
      <alignment horizontal="left" wrapText="1"/>
    </xf>
    <xf numFmtId="0" fontId="1" fillId="0" borderId="0" xfId="0" applyFont="1"/>
    <xf numFmtId="0" fontId="0" fillId="2" borderId="0" xfId="0" applyFill="1" applyAlignment="1">
      <alignment horizontal="left"/>
    </xf>
    <xf numFmtId="0" fontId="0" fillId="0" borderId="1" xfId="0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26</xdr:row>
      <xdr:rowOff>0</xdr:rowOff>
    </xdr:from>
    <xdr:to>
      <xdr:col>6</xdr:col>
      <xdr:colOff>476416</xdr:colOff>
      <xdr:row>29</xdr:row>
      <xdr:rowOff>38130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429250"/>
          <a:ext cx="3225966" cy="5905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6</xdr:col>
      <xdr:colOff>559017</xdr:colOff>
      <xdr:row>13</xdr:row>
      <xdr:rowOff>31789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0050"/>
          <a:ext cx="4216617" cy="76838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4</xdr:col>
      <xdr:colOff>343114</xdr:colOff>
      <xdr:row>21</xdr:row>
      <xdr:rowOff>69901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97200"/>
          <a:ext cx="4159464" cy="990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</xdr:row>
      <xdr:rowOff>0</xdr:rowOff>
    </xdr:from>
    <xdr:to>
      <xdr:col>2</xdr:col>
      <xdr:colOff>82605</xdr:colOff>
      <xdr:row>24</xdr:row>
      <xdr:rowOff>120666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432300"/>
          <a:ext cx="1073205" cy="3048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>
      <selection activeCell="H5" sqref="H5"/>
    </sheetView>
  </sheetViews>
  <sheetFormatPr defaultRowHeight="14.5" x14ac:dyDescent="0.35"/>
  <cols>
    <col min="1" max="1" width="6.90625" customWidth="1"/>
    <col min="2" max="2" width="6" customWidth="1"/>
    <col min="3" max="3" width="5" customWidth="1"/>
    <col min="4" max="4" width="4.81640625" customWidth="1"/>
    <col min="5" max="5" width="7.90625" customWidth="1"/>
    <col min="7" max="7" width="19.6328125" bestFit="1" customWidth="1"/>
    <col min="10" max="10" width="25.81640625" bestFit="1" customWidth="1"/>
  </cols>
  <sheetData>
    <row r="1" spans="1:10" x14ac:dyDescent="0.35">
      <c r="A1" s="2" t="s">
        <v>0</v>
      </c>
      <c r="B1" s="2">
        <v>2</v>
      </c>
      <c r="C1" s="2">
        <v>4</v>
      </c>
      <c r="D1" s="2">
        <v>6</v>
      </c>
      <c r="E1" s="2">
        <v>8</v>
      </c>
      <c r="G1" t="s">
        <v>2</v>
      </c>
      <c r="H1">
        <f>_xlfn.COVARIANCE.S(A1:E1,A2:E2)</f>
        <v>6.333333333333333</v>
      </c>
      <c r="J1" t="str">
        <f ca="1">_xlfn.FORMULATEXT(H1)</f>
        <v>=COVARIANCE.S(A1:E1,A2:E2)</v>
      </c>
    </row>
    <row r="2" spans="1:10" x14ac:dyDescent="0.35">
      <c r="A2" s="2" t="s">
        <v>1</v>
      </c>
      <c r="B2" s="2">
        <v>3</v>
      </c>
      <c r="C2" s="2">
        <v>7</v>
      </c>
      <c r="D2" s="2">
        <v>5</v>
      </c>
      <c r="E2" s="2">
        <v>10</v>
      </c>
      <c r="G2" t="s">
        <v>3</v>
      </c>
      <c r="H2" s="4">
        <f>_xlfn.COVARIANCE.P(A1:E1,A2:E2)</f>
        <v>4.75</v>
      </c>
      <c r="J2" t="str">
        <f ca="1">_xlfn.FORMULATEXT(H2)</f>
        <v>=COVARIANCE.P(A1:E1,A2:E2)</v>
      </c>
    </row>
    <row r="7" spans="1:10" ht="17.5" x14ac:dyDescent="0.35">
      <c r="A7" s="6" t="s">
        <v>4</v>
      </c>
    </row>
    <row r="9" spans="1:10" x14ac:dyDescent="0.35">
      <c r="A9" s="7" t="s">
        <v>12</v>
      </c>
    </row>
    <row r="11" spans="1:10" ht="15" thickBot="1" x14ac:dyDescent="0.4"/>
    <row r="12" spans="1:10" ht="56.5" thickBot="1" x14ac:dyDescent="0.4">
      <c r="A12" s="3" t="s">
        <v>5</v>
      </c>
      <c r="B12" s="3" t="s">
        <v>6</v>
      </c>
    </row>
    <row r="13" spans="1:10" ht="15" thickBot="1" x14ac:dyDescent="0.4">
      <c r="A13" s="8">
        <v>2</v>
      </c>
      <c r="B13" s="8">
        <v>3</v>
      </c>
    </row>
    <row r="14" spans="1:10" ht="15" thickBot="1" x14ac:dyDescent="0.4">
      <c r="A14" s="8">
        <v>4</v>
      </c>
      <c r="B14" s="8">
        <v>7</v>
      </c>
    </row>
    <row r="15" spans="1:10" ht="15" thickBot="1" x14ac:dyDescent="0.4">
      <c r="A15" s="8">
        <v>6</v>
      </c>
      <c r="B15" s="8">
        <v>5</v>
      </c>
    </row>
    <row r="16" spans="1:10" ht="15" thickBot="1" x14ac:dyDescent="0.4">
      <c r="A16" s="8">
        <v>8</v>
      </c>
      <c r="B16" s="8">
        <v>10</v>
      </c>
    </row>
    <row r="18" spans="1:1" ht="17.5" x14ac:dyDescent="0.35">
      <c r="A18" s="6" t="s">
        <v>7</v>
      </c>
    </row>
    <row r="20" spans="1:1" x14ac:dyDescent="0.35">
      <c r="A20" s="7" t="s">
        <v>8</v>
      </c>
    </row>
    <row r="21" spans="1:1" x14ac:dyDescent="0.35">
      <c r="A21" s="9"/>
    </row>
    <row r="22" spans="1:1" x14ac:dyDescent="0.35">
      <c r="A22" s="10" t="s">
        <v>16</v>
      </c>
    </row>
    <row r="23" spans="1:1" x14ac:dyDescent="0.35">
      <c r="A23" s="9"/>
    </row>
    <row r="24" spans="1:1" x14ac:dyDescent="0.35">
      <c r="A24" s="10" t="s">
        <v>17</v>
      </c>
    </row>
    <row r="25" spans="1:1" x14ac:dyDescent="0.35">
      <c r="A25" s="9"/>
    </row>
    <row r="26" spans="1:1" x14ac:dyDescent="0.35">
      <c r="A26" s="10" t="s">
        <v>9</v>
      </c>
    </row>
    <row r="27" spans="1:1" x14ac:dyDescent="0.35">
      <c r="A27" s="9"/>
    </row>
    <row r="28" spans="1:1" x14ac:dyDescent="0.35">
      <c r="A28" s="7"/>
    </row>
    <row r="29" spans="1:1" x14ac:dyDescent="0.35">
      <c r="A29" s="10" t="s">
        <v>10</v>
      </c>
    </row>
    <row r="32" spans="1:1" x14ac:dyDescent="0.35">
      <c r="A32" s="10" t="s">
        <v>10</v>
      </c>
    </row>
    <row r="35" spans="1:1" ht="17.5" x14ac:dyDescent="0.35">
      <c r="A35" s="6" t="s">
        <v>11</v>
      </c>
    </row>
    <row r="36" spans="1:1" x14ac:dyDescent="0.35">
      <c r="A36" s="9"/>
    </row>
    <row r="37" spans="1:1" x14ac:dyDescent="0.35">
      <c r="A37" s="10" t="s">
        <v>13</v>
      </c>
    </row>
    <row r="38" spans="1:1" x14ac:dyDescent="0.35">
      <c r="A38" s="9"/>
    </row>
    <row r="39" spans="1:1" x14ac:dyDescent="0.35">
      <c r="A39" s="10" t="s">
        <v>14</v>
      </c>
    </row>
    <row r="40" spans="1:1" x14ac:dyDescent="0.35">
      <c r="A40" s="9"/>
    </row>
    <row r="41" spans="1:1" x14ac:dyDescent="0.35">
      <c r="A41" s="10" t="s">
        <v>15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topLeftCell="A40" workbookViewId="0">
      <selection activeCell="J55" sqref="J55"/>
    </sheetView>
  </sheetViews>
  <sheetFormatPr defaultRowHeight="14.5" x14ac:dyDescent="0.35"/>
  <cols>
    <col min="9" max="9" width="11.81640625" bestFit="1" customWidth="1"/>
    <col min="11" max="11" width="19.26953125" bestFit="1" customWidth="1"/>
  </cols>
  <sheetData>
    <row r="1" spans="1:11" x14ac:dyDescent="0.35">
      <c r="A1" s="1" t="s">
        <v>18</v>
      </c>
      <c r="B1" s="1">
        <v>10</v>
      </c>
      <c r="C1" s="1">
        <v>20</v>
      </c>
      <c r="D1" s="1">
        <v>40</v>
      </c>
      <c r="E1" s="1">
        <v>40</v>
      </c>
      <c r="F1" s="1">
        <v>50</v>
      </c>
      <c r="I1" s="12">
        <f>CORREL(B1:F1,B2:F2)</f>
        <v>0.95226973367378887</v>
      </c>
      <c r="K1" s="12" t="str">
        <f ca="1">_xlfn.FORMULATEXT(I1)</f>
        <v>=CORREL(B1:F1,B2:F2)</v>
      </c>
    </row>
    <row r="2" spans="1:11" x14ac:dyDescent="0.35">
      <c r="A2" s="1" t="s">
        <v>19</v>
      </c>
      <c r="B2" s="1">
        <v>8</v>
      </c>
      <c r="C2" s="1">
        <v>14</v>
      </c>
      <c r="D2" s="1">
        <v>18</v>
      </c>
      <c r="E2" s="1">
        <v>24</v>
      </c>
      <c r="F2" s="1">
        <v>28</v>
      </c>
    </row>
    <row r="4" spans="1:11" ht="15.5" x14ac:dyDescent="0.35">
      <c r="A4" s="11" t="s">
        <v>20</v>
      </c>
    </row>
    <row r="7" spans="1:11" x14ac:dyDescent="0.35">
      <c r="A7" t="s">
        <v>33</v>
      </c>
    </row>
    <row r="16" spans="1:11" ht="17.5" x14ac:dyDescent="0.35">
      <c r="A16" s="6" t="s">
        <v>21</v>
      </c>
    </row>
    <row r="18" spans="1:5" x14ac:dyDescent="0.35">
      <c r="A18" s="7" t="s">
        <v>34</v>
      </c>
    </row>
    <row r="19" spans="1:5" ht="15" thickBot="1" x14ac:dyDescent="0.4"/>
    <row r="20" spans="1:5" ht="15" thickBot="1" x14ac:dyDescent="0.4">
      <c r="A20" s="3" t="s">
        <v>18</v>
      </c>
      <c r="B20" s="3" t="s">
        <v>19</v>
      </c>
      <c r="C20" s="3" t="s">
        <v>22</v>
      </c>
      <c r="D20" s="3" t="s">
        <v>23</v>
      </c>
      <c r="E20" s="3" t="s">
        <v>24</v>
      </c>
    </row>
    <row r="21" spans="1:5" ht="15" thickBot="1" x14ac:dyDescent="0.4">
      <c r="A21" s="8">
        <v>10</v>
      </c>
      <c r="B21" s="8">
        <v>8</v>
      </c>
      <c r="C21" s="8">
        <v>100</v>
      </c>
      <c r="D21" s="8">
        <v>64</v>
      </c>
      <c r="E21" s="8">
        <v>80</v>
      </c>
    </row>
    <row r="22" spans="1:5" ht="15" thickBot="1" x14ac:dyDescent="0.4">
      <c r="A22" s="8">
        <v>20</v>
      </c>
      <c r="B22" s="8">
        <v>14</v>
      </c>
      <c r="C22" s="8">
        <v>400</v>
      </c>
      <c r="D22" s="8">
        <v>196</v>
      </c>
      <c r="E22" s="8">
        <v>280</v>
      </c>
    </row>
    <row r="23" spans="1:5" ht="15" thickBot="1" x14ac:dyDescent="0.4">
      <c r="A23" s="8">
        <v>40</v>
      </c>
      <c r="B23" s="8">
        <v>18</v>
      </c>
      <c r="C23" s="8">
        <v>1600</v>
      </c>
      <c r="D23" s="8">
        <v>324</v>
      </c>
      <c r="E23" s="8">
        <v>720</v>
      </c>
    </row>
    <row r="24" spans="1:5" ht="15" thickBot="1" x14ac:dyDescent="0.4">
      <c r="A24" s="8">
        <v>40</v>
      </c>
      <c r="B24" s="8">
        <v>24</v>
      </c>
      <c r="C24" s="8">
        <v>1600</v>
      </c>
      <c r="D24" s="8">
        <v>576</v>
      </c>
      <c r="E24" s="8">
        <v>960</v>
      </c>
    </row>
    <row r="25" spans="1:5" ht="15" thickBot="1" x14ac:dyDescent="0.4">
      <c r="A25" s="8">
        <v>50</v>
      </c>
      <c r="B25" s="8">
        <v>28</v>
      </c>
      <c r="C25" s="8">
        <v>2500</v>
      </c>
      <c r="D25" s="8">
        <v>784</v>
      </c>
      <c r="E25" s="8">
        <v>1400</v>
      </c>
    </row>
    <row r="26" spans="1:5" ht="15" thickBot="1" x14ac:dyDescent="0.4">
      <c r="A26" s="3">
        <f>SUM(A21:A25)</f>
        <v>160</v>
      </c>
      <c r="B26" s="3">
        <f>SUM(B21:B25)</f>
        <v>92</v>
      </c>
      <c r="C26" s="3">
        <f>SUM(C21:C25)</f>
        <v>6200</v>
      </c>
      <c r="D26" s="3">
        <f>SUM(D21:D25)</f>
        <v>1944</v>
      </c>
    </row>
    <row r="29" spans="1:5" ht="17.5" x14ac:dyDescent="0.35">
      <c r="A29" s="6" t="s">
        <v>25</v>
      </c>
    </row>
    <row r="30" spans="1:5" x14ac:dyDescent="0.35">
      <c r="A30" s="9"/>
    </row>
    <row r="31" spans="1:5" x14ac:dyDescent="0.35">
      <c r="A31" s="10" t="s">
        <v>26</v>
      </c>
    </row>
    <row r="32" spans="1:5" x14ac:dyDescent="0.35">
      <c r="A32" s="9"/>
    </row>
    <row r="33" spans="1:1" x14ac:dyDescent="0.35">
      <c r="A33" s="7" t="s">
        <v>35</v>
      </c>
    </row>
    <row r="34" spans="1:1" x14ac:dyDescent="0.35">
      <c r="A34" s="7" t="s">
        <v>38</v>
      </c>
    </row>
    <row r="35" spans="1:1" x14ac:dyDescent="0.35">
      <c r="A35" s="10" t="s">
        <v>27</v>
      </c>
    </row>
    <row r="36" spans="1:1" x14ac:dyDescent="0.35">
      <c r="A36" s="9"/>
    </row>
    <row r="37" spans="1:1" x14ac:dyDescent="0.35">
      <c r="A37" s="7" t="s">
        <v>36</v>
      </c>
    </row>
    <row r="38" spans="1:1" x14ac:dyDescent="0.35">
      <c r="A38" s="7" t="s">
        <v>39</v>
      </c>
    </row>
    <row r="39" spans="1:1" x14ac:dyDescent="0.35">
      <c r="A39" s="10" t="s">
        <v>28</v>
      </c>
    </row>
    <row r="40" spans="1:1" x14ac:dyDescent="0.35">
      <c r="A40" s="9"/>
    </row>
    <row r="41" spans="1:1" x14ac:dyDescent="0.35">
      <c r="A41" s="7" t="s">
        <v>37</v>
      </c>
    </row>
    <row r="42" spans="1:1" x14ac:dyDescent="0.35">
      <c r="A42" s="7" t="s">
        <v>40</v>
      </c>
    </row>
    <row r="43" spans="1:1" x14ac:dyDescent="0.35">
      <c r="A43" s="10" t="s">
        <v>29</v>
      </c>
    </row>
    <row r="44" spans="1:1" x14ac:dyDescent="0.35">
      <c r="A44" s="9"/>
    </row>
    <row r="45" spans="1:1" x14ac:dyDescent="0.35">
      <c r="A45" s="7" t="s">
        <v>41</v>
      </c>
    </row>
    <row r="49" spans="1:1" ht="17.5" x14ac:dyDescent="0.35">
      <c r="A49" s="6" t="s">
        <v>30</v>
      </c>
    </row>
    <row r="50" spans="1:1" x14ac:dyDescent="0.35">
      <c r="A50" s="5"/>
    </row>
    <row r="51" spans="1:1" x14ac:dyDescent="0.35">
      <c r="A51" s="7" t="s">
        <v>42</v>
      </c>
    </row>
    <row r="52" spans="1:1" ht="17.5" x14ac:dyDescent="0.35">
      <c r="A52" s="6" t="s">
        <v>31</v>
      </c>
    </row>
    <row r="54" spans="1:1" x14ac:dyDescent="0.35">
      <c r="A54" s="7" t="s">
        <v>32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topLeftCell="A33" workbookViewId="0">
      <selection activeCell="A43" sqref="A43"/>
    </sheetView>
  </sheetViews>
  <sheetFormatPr defaultRowHeight="14.5" x14ac:dyDescent="0.35"/>
  <cols>
    <col min="1" max="1" width="13" style="13" customWidth="1"/>
    <col min="2" max="2" width="12.08984375" style="13" customWidth="1"/>
    <col min="3" max="3" width="16.7265625" style="13" customWidth="1"/>
    <col min="4" max="4" width="12.81640625" style="13" customWidth="1"/>
    <col min="5" max="5" width="11.6328125" style="13" customWidth="1"/>
    <col min="6" max="6" width="7.54296875" style="13" customWidth="1"/>
    <col min="7" max="9" width="8.7265625" style="13"/>
    <col min="10" max="10" width="19.26953125" style="13" bestFit="1" customWidth="1"/>
    <col min="11" max="16384" width="8.7265625" style="13"/>
  </cols>
  <sheetData>
    <row r="1" spans="1:10" x14ac:dyDescent="0.35">
      <c r="A1" s="2" t="s">
        <v>43</v>
      </c>
      <c r="B1" s="2">
        <v>150</v>
      </c>
      <c r="C1" s="2">
        <v>160</v>
      </c>
      <c r="D1" s="2">
        <v>165</v>
      </c>
      <c r="E1" s="2">
        <v>170</v>
      </c>
      <c r="F1" s="2">
        <v>180</v>
      </c>
    </row>
    <row r="2" spans="1:10" x14ac:dyDescent="0.35">
      <c r="A2" s="2" t="s">
        <v>44</v>
      </c>
      <c r="B2" s="2">
        <v>50</v>
      </c>
      <c r="C2" s="2">
        <v>55</v>
      </c>
      <c r="D2" s="2">
        <v>58</v>
      </c>
      <c r="E2" s="2">
        <v>62</v>
      </c>
      <c r="F2" s="2">
        <v>70</v>
      </c>
      <c r="H2" s="17">
        <f>CORREL(B1:F1,B2:F2)</f>
        <v>0.99218437024647965</v>
      </c>
      <c r="J2" s="13" t="str">
        <f ca="1">_xlfn.FORMULATEXT(H2)</f>
        <v>=CORREL(B1:F1,B2:F2)</v>
      </c>
    </row>
    <row r="5" spans="1:10" ht="15" thickBot="1" x14ac:dyDescent="0.4"/>
    <row r="6" spans="1:10" ht="15" thickBot="1" x14ac:dyDescent="0.4">
      <c r="A6" s="14" t="s">
        <v>45</v>
      </c>
      <c r="B6" s="14" t="s">
        <v>46</v>
      </c>
      <c r="C6" s="14" t="s">
        <v>47</v>
      </c>
      <c r="D6" s="14" t="s">
        <v>48</v>
      </c>
      <c r="E6" s="14" t="s">
        <v>49</v>
      </c>
    </row>
    <row r="7" spans="1:10" ht="15" thickBot="1" x14ac:dyDescent="0.4">
      <c r="A7" s="14">
        <v>150</v>
      </c>
      <c r="B7" s="14">
        <v>50</v>
      </c>
      <c r="C7" s="15">
        <v>22500</v>
      </c>
      <c r="D7" s="15">
        <v>2500</v>
      </c>
      <c r="E7" s="15">
        <v>7500</v>
      </c>
    </row>
    <row r="8" spans="1:10" ht="15" thickBot="1" x14ac:dyDescent="0.4">
      <c r="A8" s="14">
        <v>160</v>
      </c>
      <c r="B8" s="14">
        <v>55</v>
      </c>
      <c r="C8" s="15">
        <v>25600</v>
      </c>
      <c r="D8" s="15">
        <v>3025</v>
      </c>
      <c r="E8" s="15">
        <v>8800</v>
      </c>
    </row>
    <row r="9" spans="1:10" ht="15" thickBot="1" x14ac:dyDescent="0.4">
      <c r="A9" s="14">
        <v>165</v>
      </c>
      <c r="B9" s="14">
        <v>58</v>
      </c>
      <c r="C9" s="15">
        <v>27225</v>
      </c>
      <c r="D9" s="15">
        <v>3364</v>
      </c>
      <c r="E9" s="15">
        <v>9570</v>
      </c>
    </row>
    <row r="10" spans="1:10" ht="15" thickBot="1" x14ac:dyDescent="0.4">
      <c r="A10" s="14">
        <v>170</v>
      </c>
      <c r="B10" s="14">
        <v>62</v>
      </c>
      <c r="C10" s="15">
        <v>28900</v>
      </c>
      <c r="D10" s="15">
        <v>3844</v>
      </c>
      <c r="E10" s="15">
        <v>10540</v>
      </c>
    </row>
    <row r="11" spans="1:10" ht="15" thickBot="1" x14ac:dyDescent="0.4">
      <c r="A11" s="14">
        <v>180</v>
      </c>
      <c r="B11" s="14">
        <v>70</v>
      </c>
      <c r="C11" s="15">
        <v>32400</v>
      </c>
      <c r="D11" s="15">
        <v>4900</v>
      </c>
      <c r="E11" s="15">
        <v>12600</v>
      </c>
    </row>
    <row r="12" spans="1:10" ht="15" thickBot="1" x14ac:dyDescent="0.4">
      <c r="A12" s="14" t="s">
        <v>50</v>
      </c>
      <c r="B12" s="14" t="s">
        <v>51</v>
      </c>
      <c r="C12" s="14" t="s">
        <v>52</v>
      </c>
      <c r="D12" s="14" t="s">
        <v>53</v>
      </c>
      <c r="E12" s="14" t="s">
        <v>54</v>
      </c>
    </row>
    <row r="15" spans="1:10" x14ac:dyDescent="0.35">
      <c r="A15" t="s">
        <v>55</v>
      </c>
    </row>
    <row r="24" spans="1:1" x14ac:dyDescent="0.35">
      <c r="A24" t="s">
        <v>56</v>
      </c>
    </row>
    <row r="25" spans="1:1" x14ac:dyDescent="0.35">
      <c r="A25" t="s">
        <v>57</v>
      </c>
    </row>
    <row r="26" spans="1:1" x14ac:dyDescent="0.35">
      <c r="A26" s="16" t="s">
        <v>58</v>
      </c>
    </row>
    <row r="27" spans="1:1" x14ac:dyDescent="0.35">
      <c r="A27" s="16" t="s">
        <v>59</v>
      </c>
    </row>
    <row r="29" spans="1:1" x14ac:dyDescent="0.35">
      <c r="A29" t="s">
        <v>60</v>
      </c>
    </row>
    <row r="30" spans="1:1" x14ac:dyDescent="0.35">
      <c r="A30" s="16" t="s">
        <v>61</v>
      </c>
    </row>
    <row r="31" spans="1:1" x14ac:dyDescent="0.35">
      <c r="A31" s="16" t="s">
        <v>62</v>
      </c>
    </row>
    <row r="33" spans="1:1" x14ac:dyDescent="0.35">
      <c r="A33" t="s">
        <v>63</v>
      </c>
    </row>
    <row r="34" spans="1:1" x14ac:dyDescent="0.35">
      <c r="A34" s="16" t="s">
        <v>64</v>
      </c>
    </row>
    <row r="35" spans="1:1" x14ac:dyDescent="0.35">
      <c r="A35" s="16" t="s">
        <v>65</v>
      </c>
    </row>
    <row r="37" spans="1:1" x14ac:dyDescent="0.35">
      <c r="A37" s="7" t="s">
        <v>66</v>
      </c>
    </row>
    <row r="38" spans="1:1" x14ac:dyDescent="0.35">
      <c r="A38" s="16" t="s">
        <v>67</v>
      </c>
    </row>
    <row r="40" spans="1:1" x14ac:dyDescent="0.35">
      <c r="A40" s="7" t="s">
        <v>68</v>
      </c>
    </row>
    <row r="41" spans="1:1" x14ac:dyDescent="0.35">
      <c r="A41" s="7" t="s">
        <v>69</v>
      </c>
    </row>
    <row r="42" spans="1:1" x14ac:dyDescent="0.35">
      <c r="A42" s="7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sqref="A1:F2"/>
    </sheetView>
  </sheetViews>
  <sheetFormatPr defaultRowHeight="14.5" x14ac:dyDescent="0.35"/>
  <sheetData>
    <row r="1" spans="1:6" x14ac:dyDescent="0.35">
      <c r="A1" s="18" t="s">
        <v>0</v>
      </c>
      <c r="B1" s="18">
        <v>1</v>
      </c>
      <c r="C1" s="18">
        <v>2</v>
      </c>
      <c r="D1" s="18">
        <v>3</v>
      </c>
      <c r="E1" s="18">
        <v>4</v>
      </c>
      <c r="F1" s="18">
        <v>5</v>
      </c>
    </row>
    <row r="2" spans="1:6" x14ac:dyDescent="0.35">
      <c r="A2" s="18" t="s">
        <v>1</v>
      </c>
      <c r="B2" s="18">
        <v>15</v>
      </c>
      <c r="C2" s="18">
        <v>12</v>
      </c>
      <c r="D2" s="18">
        <v>9</v>
      </c>
      <c r="E2" s="18">
        <v>7</v>
      </c>
      <c r="F2" s="18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abSelected="1" topLeftCell="A18" workbookViewId="0">
      <selection activeCell="A33" sqref="A33"/>
    </sheetView>
  </sheetViews>
  <sheetFormatPr defaultRowHeight="14.5" x14ac:dyDescent="0.35"/>
  <cols>
    <col min="1" max="1" width="4.54296875" style="13" bestFit="1" customWidth="1"/>
    <col min="2" max="2" width="9.6328125" style="13" bestFit="1" customWidth="1"/>
    <col min="3" max="3" width="9.54296875" style="13" bestFit="1" customWidth="1"/>
    <col min="4" max="5" width="8.7265625" style="13"/>
    <col min="6" max="6" width="25.81640625" style="13" bestFit="1" customWidth="1"/>
    <col min="7" max="16384" width="8.7265625" style="13"/>
  </cols>
  <sheetData>
    <row r="1" spans="1:8" x14ac:dyDescent="0.35">
      <c r="A1" s="2" t="s">
        <v>70</v>
      </c>
      <c r="B1" s="2" t="s">
        <v>71</v>
      </c>
      <c r="C1" s="2" t="s">
        <v>72</v>
      </c>
    </row>
    <row r="2" spans="1:8" x14ac:dyDescent="0.35">
      <c r="A2" s="2">
        <v>1</v>
      </c>
      <c r="B2" s="2">
        <v>8</v>
      </c>
      <c r="C2" s="2">
        <v>6</v>
      </c>
    </row>
    <row r="3" spans="1:8" x14ac:dyDescent="0.35">
      <c r="A3" s="2">
        <v>2</v>
      </c>
      <c r="B3" s="2">
        <v>10</v>
      </c>
      <c r="C3" s="2">
        <v>9</v>
      </c>
      <c r="E3" s="17">
        <f>_xlfn.COVARIANCE.P(B2:B6,C2:C6)</f>
        <v>2.4</v>
      </c>
      <c r="F3" s="13" t="str">
        <f ca="1">_xlfn.FORMULATEXT(E3)</f>
        <v>=COVARIANCE.P(B2:B6,C2:C6)</v>
      </c>
    </row>
    <row r="4" spans="1:8" x14ac:dyDescent="0.35">
      <c r="A4" s="2">
        <v>3</v>
      </c>
      <c r="B4" s="2">
        <v>12</v>
      </c>
      <c r="C4" s="2">
        <v>11</v>
      </c>
      <c r="E4" s="17">
        <f>_xlfn.COVARIANCE.S(B2:B6,C2:C6)</f>
        <v>3</v>
      </c>
      <c r="F4" s="13" t="str">
        <f ca="1">_xlfn.FORMULATEXT(E4)</f>
        <v>=COVARIANCE.S(B2:B6,C2:C6)</v>
      </c>
    </row>
    <row r="5" spans="1:8" x14ac:dyDescent="0.35">
      <c r="A5" s="2">
        <v>4</v>
      </c>
      <c r="B5" s="2">
        <v>9</v>
      </c>
      <c r="C5" s="2">
        <v>8</v>
      </c>
    </row>
    <row r="6" spans="1:8" x14ac:dyDescent="0.35">
      <c r="A6" s="2">
        <v>5</v>
      </c>
      <c r="B6" s="2">
        <v>11</v>
      </c>
      <c r="C6" s="2">
        <v>10</v>
      </c>
    </row>
    <row r="8" spans="1:8" ht="15" thickBot="1" x14ac:dyDescent="0.4"/>
    <row r="9" spans="1:8" ht="26.5" thickBot="1" x14ac:dyDescent="0.4">
      <c r="A9" s="14" t="s">
        <v>70</v>
      </c>
      <c r="B9" s="14" t="s">
        <v>73</v>
      </c>
      <c r="C9" s="14" t="s">
        <v>74</v>
      </c>
      <c r="D9" s="14" t="s">
        <v>75</v>
      </c>
      <c r="E9" s="14" t="s">
        <v>76</v>
      </c>
      <c r="F9" s="14" t="s">
        <v>77</v>
      </c>
      <c r="G9" s="14" t="s">
        <v>78</v>
      </c>
      <c r="H9" s="14" t="s">
        <v>79</v>
      </c>
    </row>
    <row r="10" spans="1:8" ht="15" thickBot="1" x14ac:dyDescent="0.4">
      <c r="A10" s="14">
        <v>1</v>
      </c>
      <c r="B10" s="14">
        <v>8</v>
      </c>
      <c r="C10" s="14">
        <v>6</v>
      </c>
      <c r="D10" s="14">
        <v>-2</v>
      </c>
      <c r="E10" s="14">
        <v>-2.8</v>
      </c>
      <c r="F10" s="14">
        <v>5.6</v>
      </c>
      <c r="G10" s="14">
        <v>4</v>
      </c>
      <c r="H10" s="14">
        <v>7.84</v>
      </c>
    </row>
    <row r="11" spans="1:8" ht="15" thickBot="1" x14ac:dyDescent="0.4">
      <c r="A11" s="14">
        <v>2</v>
      </c>
      <c r="B11" s="14">
        <v>10</v>
      </c>
      <c r="C11" s="14">
        <v>9</v>
      </c>
      <c r="D11" s="14">
        <v>0</v>
      </c>
      <c r="E11" s="14">
        <v>0.2</v>
      </c>
      <c r="F11" s="14">
        <v>0</v>
      </c>
      <c r="G11" s="14">
        <v>0</v>
      </c>
      <c r="H11" s="14">
        <v>0.04</v>
      </c>
    </row>
    <row r="12" spans="1:8" ht="15" thickBot="1" x14ac:dyDescent="0.4">
      <c r="A12" s="14">
        <v>3</v>
      </c>
      <c r="B12" s="14">
        <v>12</v>
      </c>
      <c r="C12" s="14">
        <v>11</v>
      </c>
      <c r="D12" s="14">
        <v>2</v>
      </c>
      <c r="E12" s="14">
        <v>2.2000000000000002</v>
      </c>
      <c r="F12" s="14">
        <v>4.4000000000000004</v>
      </c>
      <c r="G12" s="14">
        <v>4</v>
      </c>
      <c r="H12" s="14">
        <v>4.84</v>
      </c>
    </row>
    <row r="13" spans="1:8" ht="15" thickBot="1" x14ac:dyDescent="0.4">
      <c r="A13" s="14">
        <v>4</v>
      </c>
      <c r="B13" s="14">
        <v>9</v>
      </c>
      <c r="C13" s="14">
        <v>8</v>
      </c>
      <c r="D13" s="14">
        <v>-1</v>
      </c>
      <c r="E13" s="14">
        <v>-0.8</v>
      </c>
      <c r="F13" s="14">
        <v>0.8</v>
      </c>
      <c r="G13" s="14">
        <v>1</v>
      </c>
      <c r="H13" s="14">
        <v>0.64</v>
      </c>
    </row>
    <row r="14" spans="1:8" ht="15" thickBot="1" x14ac:dyDescent="0.4">
      <c r="A14" s="14">
        <v>5</v>
      </c>
      <c r="B14" s="14">
        <v>11</v>
      </c>
      <c r="C14" s="14">
        <v>10</v>
      </c>
      <c r="D14" s="14">
        <v>1</v>
      </c>
      <c r="E14" s="14">
        <v>1.2</v>
      </c>
      <c r="F14" s="14">
        <v>1.2</v>
      </c>
      <c r="G14" s="14">
        <v>1</v>
      </c>
      <c r="H14" s="14">
        <v>1.44</v>
      </c>
    </row>
    <row r="15" spans="1:8" ht="15" thickBot="1" x14ac:dyDescent="0.4">
      <c r="A15" s="14" t="s">
        <v>80</v>
      </c>
      <c r="B15" s="14"/>
      <c r="C15" s="14"/>
      <c r="D15" s="14"/>
      <c r="E15" s="14"/>
      <c r="F15" s="14">
        <v>12</v>
      </c>
      <c r="G15" s="14">
        <v>10</v>
      </c>
      <c r="H15" s="14">
        <v>14.8</v>
      </c>
    </row>
    <row r="17" spans="1:1" x14ac:dyDescent="0.35">
      <c r="A17" t="s">
        <v>81</v>
      </c>
    </row>
    <row r="19" spans="1:1" x14ac:dyDescent="0.35">
      <c r="A19" t="s">
        <v>82</v>
      </c>
    </row>
    <row r="21" spans="1:1" x14ac:dyDescent="0.35">
      <c r="A21" t="s">
        <v>83</v>
      </c>
    </row>
    <row r="23" spans="1:1" x14ac:dyDescent="0.35">
      <c r="A23" t="s">
        <v>84</v>
      </c>
    </row>
    <row r="27" spans="1:1" x14ac:dyDescent="0.35">
      <c r="A27" s="19" t="s">
        <v>85</v>
      </c>
    </row>
    <row r="29" spans="1:1" x14ac:dyDescent="0.35">
      <c r="A29" s="19" t="s">
        <v>86</v>
      </c>
    </row>
    <row r="31" spans="1:1" x14ac:dyDescent="0.35">
      <c r="A31" s="7" t="s">
        <v>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Q6</vt:lpstr>
      <vt:lpstr>Q7</vt:lpstr>
      <vt:lpstr>Q8</vt:lpstr>
      <vt:lpstr>Q9</vt:lpstr>
      <vt:lpstr>Q10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Deb, Anirban</dc:creator>
  <cp:lastModifiedBy>Deb, Anirban</cp:lastModifiedBy>
  <dcterms:created xsi:type="dcterms:W3CDTF">2026-03-12T16:06:42Z</dcterms:created>
  <dcterms:modified xsi:type="dcterms:W3CDTF">2026-03-14T12:34:36Z</dcterms:modified>
</cp:coreProperties>
</file>